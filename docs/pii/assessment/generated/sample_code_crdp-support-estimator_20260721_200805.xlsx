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Input_Overview" sheetId="2" r:id="rId2"/>
    <sheet name="Applications" sheetId="3" r:id="rId3"/>
    <sheet name="Assumptions" sheetId="4" r:id="rId4"/>
    <sheet name="Derived_Scenarios" sheetId="5" r:id="rId5"/>
    <sheet name="Portfolio_Summary" sheetId="6" r:id="rId6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10" customWidth="1"/>
  </cols>
  <sheetData>
    <row r="1">
      <c r="A1" t="inlineStr" s="1">
        <is>
          <t>CRDP Support Effort Estimator (Scan-Informed)</t>
        </is>
      </c>
    </row>
    <row r="2">
      <c r="A2" t="inlineStr" s="1">
        <is>
          <t>Purpose</t>
        </is>
      </c>
    </row>
    <row r="3">
      <c r="A3" t="inlineStr">
        <is>
          <t>This workbook starts from a real PII file-reports JSON export and turns it into a scan-informed CRDP support-estimating workbook.</t>
        </is>
      </c>
    </row>
    <row r="4">
      <c r="A4" t="inlineStr" s="1">
        <is>
          <t>Label</t>
        </is>
      </c>
      <c r="B4" t="inlineStr">
        <is>
          <t>sample_code</t>
        </is>
      </c>
    </row>
    <row r="5">
      <c r="A5" t="inlineStr" s="1">
        <is>
          <t>Generated at</t>
        </is>
      </c>
      <c r="B5" t="inlineStr">
        <is>
          <t>2026-07-21 20:08:05 UTC</t>
        </is>
      </c>
    </row>
    <row r="6">
      <c r="A6" t="inlineStr" s="1">
        <is>
          <t>Input file</t>
        </is>
      </c>
      <c r="B6" t="inlineStr">
        <is>
          <t>E:\codex\work\migration\reports\sample_code_pii_file-reports_20260721_154735.json</t>
        </is>
      </c>
    </row>
    <row r="7">
      <c r="A7" t="inlineStr" s="1">
        <is>
          <t>Derived application buckets</t>
        </is>
      </c>
      <c r="B7">
        <v>14</v>
      </c>
    </row>
    <row r="8">
      <c r="A8" t="inlineStr" s="1">
        <is>
          <t>How to use it</t>
        </is>
      </c>
    </row>
    <row r="9">
      <c r="A9" t="inlineStr">
        <is>
          <t>1. Review the Input_Overview and Applications sheets to confirm the scan-derived starting point makes sense.</t>
        </is>
      </c>
    </row>
    <row r="10">
      <c r="A10" t="inlineStr">
        <is>
          <t>2. On Derived_Scenarios, edit Readiness, Criticality, and Data / Performance if the operational reality differs from the defaults.</t>
        </is>
      </c>
    </row>
    <row r="11">
      <c r="A11" t="inlineStr">
        <is>
          <t>3. Use Portfolio_Summary to compare total monthly and annual support effort after your edits.</t>
        </is>
      </c>
    </row>
    <row r="12">
      <c r="A12" t="inlineStr">
        <is>
          <t>4. Treat this workbook as scan-informed, not fully automated: operational criticality and support maturity still require human judgement.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8" customWidth="1"/>
  </cols>
  <sheetData>
    <row r="1">
      <c r="A1" t="inlineStr" s="1">
        <is>
          <t>Input Overview</t>
        </is>
      </c>
    </row>
    <row r="2">
      <c r="A2" t="inlineStr" s="1">
        <is>
          <t>Metric</t>
        </is>
      </c>
      <c r="B2" t="inlineStr" s="1">
        <is>
          <t>Value</t>
        </is>
      </c>
    </row>
    <row r="3">
      <c r="A3" t="inlineStr">
        <is>
          <t>Files in input JSON</t>
        </is>
      </c>
      <c r="B3">
        <v>47</v>
      </c>
    </row>
    <row r="4">
      <c r="A4" t="inlineStr">
        <is>
          <t>Likely change-target files</t>
        </is>
      </c>
      <c r="B4">
        <v>17</v>
      </c>
    </row>
    <row r="5">
      <c r="A5" t="inlineStr">
        <is>
          <t>Derived application buckets</t>
        </is>
      </c>
      <c r="B5">
        <v>14</v>
      </c>
    </row>
    <row r="6">
      <c r="A6" t="inlineStr">
        <is>
          <t>Total PII findings</t>
        </is>
      </c>
      <c r="B6">
        <v>667</v>
      </c>
    </row>
    <row r="7"/>
    <row r="8">
      <c r="A8" t="inlineStr" s="1">
        <is>
          <t>Owner summary</t>
        </is>
      </c>
      <c r="B8" t="inlineStr" s="1">
        <is>
          <t>Count</t>
        </is>
      </c>
    </row>
    <row r="9">
      <c r="A9" t="inlineStr">
        <is>
          <t>backend_logic_owner</t>
        </is>
      </c>
      <c r="B9">
        <v>5</v>
      </c>
    </row>
    <row r="10">
      <c r="A10" t="inlineStr">
        <is>
          <t>data_access_owner</t>
        </is>
      </c>
      <c r="B10">
        <v>1</v>
      </c>
    </row>
    <row r="11">
      <c r="A11" t="inlineStr">
        <is>
          <t>frontend_reference_only</t>
        </is>
      </c>
      <c r="B11">
        <v>9</v>
      </c>
    </row>
    <row r="12">
      <c r="A12" t="inlineStr">
        <is>
          <t>jdbc_candidate</t>
        </is>
      </c>
      <c r="B12">
        <v>11</v>
      </c>
    </row>
    <row r="13">
      <c r="A13" t="inlineStr">
        <is>
          <t>supporting_model</t>
        </is>
      </c>
      <c r="B13">
        <v>21</v>
      </c>
    </row>
    <row r="14"/>
    <row r="15">
      <c r="A15" t="inlineStr" s="1">
        <is>
          <t>Recommended action summary</t>
        </is>
      </c>
      <c r="B15" t="inlineStr" s="1">
        <is>
          <t>Count</t>
        </is>
      </c>
    </row>
    <row r="16">
      <c r="A16" t="inlineStr">
        <is>
          <t>frontend_reference_only</t>
        </is>
      </c>
      <c r="B16">
        <v>9</v>
      </c>
    </row>
    <row r="17">
      <c r="A17" t="inlineStr">
        <is>
          <t>review_crdp_rest_change</t>
        </is>
      </c>
      <c r="B17">
        <v>5</v>
      </c>
    </row>
    <row r="18">
      <c r="A18" t="inlineStr">
        <is>
          <t>review_data_access_change</t>
        </is>
      </c>
      <c r="B18">
        <v>1</v>
      </c>
    </row>
    <row r="19">
      <c r="A19" t="inlineStr">
        <is>
          <t>review_jdbc_substitution</t>
        </is>
      </c>
      <c r="B19">
        <v>11</v>
      </c>
    </row>
    <row r="20">
      <c r="A20" t="inlineStr">
        <is>
          <t>supporting_model_only</t>
        </is>
      </c>
      <c r="B20">
        <v>21</v>
      </c>
    </row>
    <row r="21"/>
    <row r="22">
      <c r="A22" t="inlineStr" s="1">
        <is>
          <t>Context summary</t>
        </is>
      </c>
      <c r="B22" t="inlineStr" s="1">
        <is>
          <t>Count</t>
        </is>
      </c>
    </row>
    <row r="23">
      <c r="A23" t="inlineStr">
        <is>
          <t>backend</t>
        </is>
      </c>
      <c r="B23">
        <v>35</v>
      </c>
    </row>
    <row r="24">
      <c r="A24" t="inlineStr">
        <is>
          <t>batch_integration</t>
        </is>
      </c>
      <c r="B24">
        <v>2</v>
      </c>
    </row>
    <row r="25">
      <c r="A25" t="inlineStr">
        <is>
          <t>docs</t>
        </is>
      </c>
      <c r="B25">
        <v>1</v>
      </c>
    </row>
    <row r="26">
      <c r="A26" t="inlineStr">
        <is>
          <t>frontend</t>
        </is>
      </c>
      <c r="B26">
        <v>9</v>
      </c>
    </row>
    <row r="27"/>
    <row r="28">
      <c r="A28" t="inlineStr" s="1">
        <is>
          <t>Complexity summary</t>
        </is>
      </c>
      <c r="B28" t="inlineStr" s="1">
        <is>
          <t>Count</t>
        </is>
      </c>
    </row>
    <row r="29">
      <c r="A29" t="inlineStr">
        <is>
          <t>high</t>
        </is>
      </c>
      <c r="B29">
        <v>23</v>
      </c>
    </row>
    <row r="30">
      <c r="A30" t="inlineStr">
        <is>
          <t>low</t>
        </is>
      </c>
      <c r="B30">
        <v>10</v>
      </c>
    </row>
    <row r="31">
      <c r="A31" t="inlineStr">
        <is>
          <t>medium</t>
        </is>
      </c>
      <c r="B31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28" customWidth="1"/>
    <col min="3" max="3" width="10" customWidth="1"/>
    <col min="4" max="4" width="16" customWidth="1"/>
    <col min="5" max="5" width="14" customWidth="1"/>
    <col min="6" max="6" width="14" customWidth="1"/>
    <col min="7" max="7" width="20" customWidth="1"/>
    <col min="8" max="8" width="12" customWidth="1"/>
    <col min="9" max="9" width="22" customWidth="1"/>
    <col min="10" max="10" width="20" customWidth="1"/>
    <col min="11" max="11" width="18" customWidth="1"/>
    <col min="12" max="12" width="90" customWidth="1"/>
  </cols>
  <sheetData>
    <row r="1">
      <c r="A1" t="inlineStr" s="1">
        <is>
          <t>Derived Applications</t>
        </is>
      </c>
    </row>
    <row r="2">
      <c r="A2" t="inlineStr" s="1">
        <is>
          <t>Application</t>
        </is>
      </c>
      <c r="B2" t="inlineStr" s="1">
        <is>
          <t>Path Prefix</t>
        </is>
      </c>
      <c r="C2" t="inlineStr" s="1">
        <is>
          <t>Files</t>
        </is>
      </c>
      <c r="D2" t="inlineStr" s="1">
        <is>
          <t>Likely Change Targets</t>
        </is>
      </c>
      <c r="E2" t="inlineStr" s="1">
        <is>
          <t>Total Findings</t>
        </is>
      </c>
      <c r="F2" t="inlineStr" s="1">
        <is>
          <t>JDBC Candidates</t>
        </is>
      </c>
      <c r="G2" t="inlineStr" s="1">
        <is>
          <t>Code-Change Candidates</t>
        </is>
      </c>
      <c r="H2" t="inlineStr" s="1">
        <is>
          <t>Complexity</t>
        </is>
      </c>
      <c r="I2" t="inlineStr" s="1">
        <is>
          <t>Dominant Action</t>
        </is>
      </c>
      <c r="J2" t="inlineStr" s="1">
        <is>
          <t>Dominant Owner</t>
        </is>
      </c>
      <c r="K2" t="inlineStr" s="1">
        <is>
          <t>Dominant Context</t>
        </is>
      </c>
      <c r="L2" t="inlineStr" s="1">
        <is>
          <t>Notes</t>
        </is>
      </c>
    </row>
    <row r="3">
      <c r="A3" t="inlineStr">
        <is>
          <t>README.md</t>
        </is>
      </c>
      <c r="B3" t="inlineStr">
        <is>
          <t>README.md</t>
        </is>
      </c>
      <c r="C3">
        <v>1</v>
      </c>
      <c r="D3">
        <v>1</v>
      </c>
      <c r="E3">
        <v>4</v>
      </c>
      <c r="F3">
        <v>2</v>
      </c>
      <c r="G3">
        <v>2</v>
      </c>
      <c r="H3" t="inlineStr">
        <is>
          <t>medium</t>
        </is>
      </c>
      <c r="I3" t="inlineStr">
        <is>
          <t>review_jdbc_substitution</t>
        </is>
      </c>
      <c r="J3" t="inlineStr">
        <is>
          <t>jdbc_candidate</t>
        </is>
      </c>
      <c r="K3" t="inlineStr">
        <is>
          <t>docs</t>
        </is>
      </c>
      <c r="L3" t="inlineStr">
        <is>
          <t>JDBC-style reduction candidate; application support burden may stay lower than direct wrapper changes. 1 likely change-target file(s) in this derived application bucket. JDBC candidate count observed: 2. Contexts: docs.</t>
        </is>
      </c>
    </row>
    <row r="4">
      <c r="A4" t="inlineStr">
        <is>
          <t>backend/dotnet-api</t>
        </is>
      </c>
      <c r="B4" t="inlineStr">
        <is>
          <t>backend\dotnet-api</t>
        </is>
      </c>
      <c r="C4">
        <v>10</v>
      </c>
      <c r="D4">
        <v>2</v>
      </c>
      <c r="E4">
        <v>153</v>
      </c>
      <c r="F4">
        <v>4</v>
      </c>
      <c r="G4">
        <v>92</v>
      </c>
      <c r="H4" t="inlineStr">
        <is>
          <t>high</t>
        </is>
      </c>
      <c r="I4" t="inlineStr">
        <is>
          <t>supporting_model_only</t>
        </is>
      </c>
      <c r="J4" t="inlineStr">
        <is>
          <t>supporting_model</t>
        </is>
      </c>
      <c r="K4" t="inlineStr">
        <is>
          <t>backend</t>
        </is>
      </c>
      <c r="L4" t="inlineStr">
        <is>
          <t>Supporting-model or DTO-heavy area; often narrows out of true change-owner scope. 2 likely change-target file(s) in this derived application bucket. JDBC candidate count observed: 4. Contexts: backend.</t>
        </is>
      </c>
    </row>
    <row r="5">
      <c r="A5" t="inlineStr">
        <is>
          <t>backend/go-service</t>
        </is>
      </c>
      <c r="B5" t="inlineStr">
        <is>
          <t>backend\go-service</t>
        </is>
      </c>
      <c r="C5">
        <v>1</v>
      </c>
      <c r="D5">
        <v>1</v>
      </c>
      <c r="E5">
        <v>17</v>
      </c>
      <c r="F5">
        <v>1</v>
      </c>
      <c r="G5">
        <v>16</v>
      </c>
      <c r="H5" t="inlineStr">
        <is>
          <t>high</t>
        </is>
      </c>
      <c r="I5" t="inlineStr">
        <is>
          <t>review_jdbc_substitution</t>
        </is>
      </c>
      <c r="J5" t="inlineStr">
        <is>
          <t>jdbc_candidate</t>
        </is>
      </c>
      <c r="K5" t="inlineStr">
        <is>
          <t>backend</t>
        </is>
      </c>
      <c r="L5" t="inlineStr">
        <is>
          <t>JDBC-style reduction candidate; application support burden may stay lower than direct wrapper changes. 1 likely change-target file(s) in this derived application bucket. JDBC candidate count observed: 1. Contexts: backend.</t>
        </is>
      </c>
    </row>
    <row r="6">
      <c r="A6" t="inlineStr">
        <is>
          <t>backend/java-kafka</t>
        </is>
      </c>
      <c r="B6" t="inlineStr">
        <is>
          <t>backend\java-kafka</t>
        </is>
      </c>
      <c r="C6">
        <v>1</v>
      </c>
      <c r="D6">
        <v>1</v>
      </c>
      <c r="E6">
        <v>7</v>
      </c>
      <c r="F6">
        <v>7</v>
      </c>
      <c r="G6">
        <v>0</v>
      </c>
      <c r="H6" t="inlineStr">
        <is>
          <t>high</t>
        </is>
      </c>
      <c r="I6" t="inlineStr">
        <is>
          <t>review_jdbc_substitution</t>
        </is>
      </c>
      <c r="J6" t="inlineStr">
        <is>
          <t>jdbc_candidate</t>
        </is>
      </c>
      <c r="K6" t="inlineStr">
        <is>
          <t>backend</t>
        </is>
      </c>
      <c r="L6" t="inlineStr">
        <is>
          <t>JDBC-style reduction candidate; application support burden may stay lower than direct wrapper changes. 1 likely change-target file(s) in this derived application bucket. JDBC candidate count observed: 7. Contexts: backend.</t>
        </is>
      </c>
    </row>
    <row r="7">
      <c r="A7" t="inlineStr">
        <is>
          <t>backend/jdbc-only</t>
        </is>
      </c>
      <c r="B7" t="inlineStr">
        <is>
          <t>backend\jdbc-only</t>
        </is>
      </c>
      <c r="C7">
        <v>2</v>
      </c>
      <c r="D7">
        <v>1</v>
      </c>
      <c r="E7">
        <v>22</v>
      </c>
      <c r="F7">
        <v>16</v>
      </c>
      <c r="G7">
        <v>0</v>
      </c>
      <c r="H7" t="inlineStr">
        <is>
          <t>medium</t>
        </is>
      </c>
      <c r="I7" t="inlineStr">
        <is>
          <t>supporting_model_only</t>
        </is>
      </c>
      <c r="J7" t="inlineStr">
        <is>
          <t>supporting_model</t>
        </is>
      </c>
      <c r="K7" t="inlineStr">
        <is>
          <t>backend</t>
        </is>
      </c>
      <c r="L7" t="inlineStr">
        <is>
          <t>Supporting-model or DTO-heavy area; often narrows out of true change-owner scope. 1 likely change-target file(s) in this derived application bucket. JDBC candidate count observed: 16. Contexts: backend.</t>
        </is>
      </c>
    </row>
    <row r="8">
      <c r="A8" t="inlineStr">
        <is>
          <t>backend/node-service</t>
        </is>
      </c>
      <c r="B8" t="inlineStr">
        <is>
          <t>backend\node-service</t>
        </is>
      </c>
      <c r="C8">
        <v>2</v>
      </c>
      <c r="D8">
        <v>1</v>
      </c>
      <c r="E8">
        <v>38</v>
      </c>
      <c r="F8">
        <v>1</v>
      </c>
      <c r="G8">
        <v>17</v>
      </c>
      <c r="H8" t="inlineStr">
        <is>
          <t>high</t>
        </is>
      </c>
      <c r="I8" t="inlineStr">
        <is>
          <t>frontend_reference_only</t>
        </is>
      </c>
      <c r="J8" t="inlineStr">
        <is>
          <t>frontend_reference_only</t>
        </is>
      </c>
      <c r="K8" t="inlineStr">
        <is>
          <t>frontend</t>
        </is>
      </c>
      <c r="L8" t="inlineStr">
        <is>
          <t>Mostly front-end reference traffic; likely not the primary CRDP support owner. 1 likely change-target file(s) in this derived application bucket. JDBC candidate count observed: 1. Contexts: backend, frontend.</t>
        </is>
      </c>
    </row>
    <row r="9">
      <c r="A9" t="inlineStr">
        <is>
          <t>backend/python-fastapi</t>
        </is>
      </c>
      <c r="B9" t="inlineStr">
        <is>
          <t>backend\python-fastapi</t>
        </is>
      </c>
      <c r="C9">
        <v>3</v>
      </c>
      <c r="D9">
        <v>2</v>
      </c>
      <c r="E9">
        <v>119</v>
      </c>
      <c r="F9">
        <v>3</v>
      </c>
      <c r="G9">
        <v>114</v>
      </c>
      <c r="H9" t="inlineStr">
        <is>
          <t>high</t>
        </is>
      </c>
      <c r="I9" t="inlineStr">
        <is>
          <t>review_jdbc_substitution</t>
        </is>
      </c>
      <c r="J9" t="inlineStr">
        <is>
          <t>jdbc_candidate</t>
        </is>
      </c>
      <c r="K9" t="inlineStr">
        <is>
          <t>backend</t>
        </is>
      </c>
      <c r="L9" t="inlineStr">
        <is>
          <t>JDBC-style reduction candidate; application support burden may stay lower than direct wrapper changes. 2 likely change-target file(s) in this derived application bucket. JDBC candidate count observed: 3. Contexts: backend.</t>
        </is>
      </c>
    </row>
    <row r="10">
      <c r="A10" t="inlineStr">
        <is>
          <t>backend/spring-boot</t>
        </is>
      </c>
      <c r="B10" t="inlineStr">
        <is>
          <t>backend\spring-boot</t>
        </is>
      </c>
      <c r="C10">
        <v>16</v>
      </c>
      <c r="D10">
        <v>7</v>
      </c>
      <c r="E10">
        <v>187</v>
      </c>
      <c r="F10">
        <v>41</v>
      </c>
      <c r="G10">
        <v>91</v>
      </c>
      <c r="H10" t="inlineStr">
        <is>
          <t>high</t>
        </is>
      </c>
      <c r="I10" t="inlineStr">
        <is>
          <t>supporting_model_only</t>
        </is>
      </c>
      <c r="J10" t="inlineStr">
        <is>
          <t>supporting_model</t>
        </is>
      </c>
      <c r="K10" t="inlineStr">
        <is>
          <t>backend</t>
        </is>
      </c>
      <c r="L10" t="inlineStr">
        <is>
          <t>Supporting-model or DTO-heavy area; often narrows out of true change-owner scope. 7 likely change-target file(s) in this derived application bucket. JDBC candidate count observed: 41. Contexts: backend.</t>
        </is>
      </c>
    </row>
    <row r="11">
      <c r="A11" t="inlineStr">
        <is>
          <t>backend/vector-search</t>
        </is>
      </c>
      <c r="B11" t="inlineStr">
        <is>
          <t>backend\vector-search</t>
        </is>
      </c>
      <c r="C11">
        <v>2</v>
      </c>
      <c r="D11">
        <v>1</v>
      </c>
      <c r="E11">
        <v>27</v>
      </c>
      <c r="F11">
        <v>0</v>
      </c>
      <c r="G11">
        <v>15</v>
      </c>
      <c r="H11" t="inlineStr">
        <is>
          <t>high</t>
        </is>
      </c>
      <c r="I11" t="inlineStr">
        <is>
          <t>frontend_reference_only</t>
        </is>
      </c>
      <c r="J11" t="inlineStr">
        <is>
          <t>frontend_reference_only</t>
        </is>
      </c>
      <c r="K11" t="inlineStr">
        <is>
          <t>frontend</t>
        </is>
      </c>
      <c r="L11" t="inlineStr">
        <is>
          <t>Mostly front-end reference traffic; likely not the primary CRDP support owner. 1 likely change-target file(s) in this derived application bucket. Contexts: backend, frontend.</t>
        </is>
      </c>
    </row>
    <row r="12">
      <c r="A12" t="inlineStr">
        <is>
          <t>frontend/angular</t>
        </is>
      </c>
      <c r="B12" t="inlineStr">
        <is>
          <t>frontend\angular</t>
        </is>
      </c>
      <c r="C12">
        <v>1</v>
      </c>
      <c r="D12">
        <v>0</v>
      </c>
      <c r="E12">
        <v>13</v>
      </c>
      <c r="F12">
        <v>0</v>
      </c>
      <c r="G12">
        <v>0</v>
      </c>
      <c r="H12" t="inlineStr">
        <is>
          <t>high</t>
        </is>
      </c>
      <c r="I12" t="inlineStr">
        <is>
          <t>frontend_reference_only</t>
        </is>
      </c>
      <c r="J12" t="inlineStr">
        <is>
          <t>frontend_reference_only</t>
        </is>
      </c>
      <c r="K12" t="inlineStr">
        <is>
          <t>frontend</t>
        </is>
      </c>
      <c r="L12" t="inlineStr">
        <is>
          <t>Mostly front-end reference traffic; likely not the primary CRDP support owner. Contexts: frontend.</t>
        </is>
      </c>
    </row>
    <row r="13">
      <c r="A13" t="inlineStr">
        <is>
          <t>frontend/node-express-ui</t>
        </is>
      </c>
      <c r="B13" t="inlineStr">
        <is>
          <t>frontend\node-express-ui</t>
        </is>
      </c>
      <c r="C13">
        <v>3</v>
      </c>
      <c r="D13">
        <v>0</v>
      </c>
      <c r="E13">
        <v>21</v>
      </c>
      <c r="F13">
        <v>0</v>
      </c>
      <c r="G13">
        <v>0</v>
      </c>
      <c r="H13" t="inlineStr">
        <is>
          <t>high</t>
        </is>
      </c>
      <c r="I13" t="inlineStr">
        <is>
          <t>frontend_reference_only</t>
        </is>
      </c>
      <c r="J13" t="inlineStr">
        <is>
          <t>frontend_reference_only</t>
        </is>
      </c>
      <c r="K13" t="inlineStr">
        <is>
          <t>frontend</t>
        </is>
      </c>
      <c r="L13" t="inlineStr">
        <is>
          <t>Mostly front-end reference traffic; likely not the primary CRDP support owner. Contexts: frontend.</t>
        </is>
      </c>
    </row>
    <row r="14">
      <c r="A14" t="inlineStr">
        <is>
          <t>frontend/react</t>
        </is>
      </c>
      <c r="B14" t="inlineStr">
        <is>
          <t>frontend\react</t>
        </is>
      </c>
      <c r="C14">
        <v>3</v>
      </c>
      <c r="D14">
        <v>0</v>
      </c>
      <c r="E14">
        <v>56</v>
      </c>
      <c r="F14">
        <v>0</v>
      </c>
      <c r="G14">
        <v>0</v>
      </c>
      <c r="H14" t="inlineStr">
        <is>
          <t>high</t>
        </is>
      </c>
      <c r="I14" t="inlineStr">
        <is>
          <t>frontend_reference_only</t>
        </is>
      </c>
      <c r="J14" t="inlineStr">
        <is>
          <t>frontend_reference_only</t>
        </is>
      </c>
      <c r="K14" t="inlineStr">
        <is>
          <t>frontend</t>
        </is>
      </c>
      <c r="L14" t="inlineStr">
        <is>
          <t>Mostly front-end reference traffic; likely not the primary CRDP support owner. Contexts: frontend.</t>
        </is>
      </c>
    </row>
    <row r="15">
      <c r="A15" t="inlineStr">
        <is>
          <t>ops/call_thales_ctvl_tokenize.sh</t>
        </is>
      </c>
      <c r="B15" t="inlineStr">
        <is>
          <t>ops\call_thales_ctvl_tokenize.sh</t>
        </is>
      </c>
      <c r="C15">
        <v>1</v>
      </c>
      <c r="D15">
        <v>0</v>
      </c>
      <c r="E15">
        <v>2</v>
      </c>
      <c r="F15">
        <v>0</v>
      </c>
      <c r="G15">
        <v>0</v>
      </c>
      <c r="H15" t="inlineStr">
        <is>
          <t>low</t>
        </is>
      </c>
      <c r="I15" t="inlineStr">
        <is>
          <t>supporting_model_only</t>
        </is>
      </c>
      <c r="J15" t="inlineStr">
        <is>
          <t>supporting_model</t>
        </is>
      </c>
      <c r="K15" t="inlineStr">
        <is>
          <t>batch_integration</t>
        </is>
      </c>
      <c r="L15" t="inlineStr">
        <is>
          <t>Supporting-model or DTO-heavy area; often narrows out of true change-owner scope. Contexts: batch_integration.</t>
        </is>
      </c>
    </row>
    <row r="16">
      <c r="A16" t="inlineStr">
        <is>
          <t>ops/call_thales_wrapper_endpoint.sh</t>
        </is>
      </c>
      <c r="B16" t="inlineStr">
        <is>
          <t>ops\call_thales_wrapper_endpoint.sh</t>
        </is>
      </c>
      <c r="C16">
        <v>1</v>
      </c>
      <c r="D16">
        <v>0</v>
      </c>
      <c r="E16">
        <v>1</v>
      </c>
      <c r="F16">
        <v>0</v>
      </c>
      <c r="G16">
        <v>0</v>
      </c>
      <c r="H16" t="inlineStr">
        <is>
          <t>low</t>
        </is>
      </c>
      <c r="I16" t="inlineStr">
        <is>
          <t>supporting_model_only</t>
        </is>
      </c>
      <c r="J16" t="inlineStr">
        <is>
          <t>supporting_model</t>
        </is>
      </c>
      <c r="K16" t="inlineStr">
        <is>
          <t>batch_integration</t>
        </is>
      </c>
      <c r="L16" t="inlineStr">
        <is>
          <t>Supporting-model or DTO-heavy area; often narrows out of true change-owner scope. Contexts: batch_integration.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18" customWidth="1"/>
    <col min="3" max="3" width="4" customWidth="1"/>
    <col min="4" max="4" width="18" customWidth="1"/>
    <col min="5" max="5" width="12" customWidth="1"/>
    <col min="6" max="6" width="4" customWidth="1"/>
    <col min="7" max="7" width="18" customWidth="1"/>
    <col min="8" max="8" width="12" customWidth="1"/>
    <col min="9" max="9" width="4" customWidth="1"/>
    <col min="10" max="10" width="20" customWidth="1"/>
    <col min="11" max="11" width="12" customWidth="1"/>
  </cols>
  <sheetData>
    <row r="1">
      <c r="A1" t="inlineStr" s="1">
        <is>
          <t>Assumptions</t>
        </is>
      </c>
    </row>
    <row r="2"/>
    <row r="3">
      <c r="A3" t="inlineStr">
        <is>
          <t>Base Complexity</t>
        </is>
      </c>
      <c r="B3" t="inlineStr" s="1">
        <is>
          <t>Hours / App / Month</t>
        </is>
      </c>
      <c r="D3" t="inlineStr">
        <is>
          <t>Readiness</t>
        </is>
      </c>
      <c r="E3" t="inlineStr" s="1">
        <is>
          <t>Multiplier</t>
        </is>
      </c>
      <c r="G3" t="inlineStr">
        <is>
          <t>Criticality</t>
        </is>
      </c>
      <c r="H3" t="inlineStr" s="1">
        <is>
          <t>Multiplier</t>
        </is>
      </c>
      <c r="J3" t="inlineStr">
        <is>
          <t>Data / Performance</t>
        </is>
      </c>
      <c r="K3" t="inlineStr" s="1">
        <is>
          <t>Multiplier</t>
        </is>
      </c>
    </row>
    <row r="4">
      <c r="A4" t="inlineStr">
        <is>
          <t>Low</t>
        </is>
      </c>
      <c r="B4">
        <v>3.0</v>
      </c>
      <c r="D4" t="inlineStr">
        <is>
          <t>High</t>
        </is>
      </c>
      <c r="E4">
        <v>0.95</v>
      </c>
      <c r="G4" t="inlineStr">
        <is>
          <t>BusinessHours</t>
        </is>
      </c>
      <c r="H4">
        <v>1.0</v>
      </c>
      <c r="J4" t="inlineStr">
        <is>
          <t>Low</t>
        </is>
      </c>
      <c r="K4">
        <v>1.0</v>
      </c>
    </row>
    <row r="5">
      <c r="A5" t="inlineStr">
        <is>
          <t>Medium</t>
        </is>
      </c>
      <c r="B5">
        <v>7.5</v>
      </c>
      <c r="D5" t="inlineStr">
        <is>
          <t>Medium</t>
        </is>
      </c>
      <c r="E5">
        <v>1.1</v>
      </c>
      <c r="G5" t="inlineStr">
        <is>
          <t>Near24x7</t>
        </is>
      </c>
      <c r="H5">
        <v>1.3</v>
      </c>
      <c r="J5" t="inlineStr">
        <is>
          <t>Moderate</t>
        </is>
      </c>
      <c r="K5">
        <v>1.2</v>
      </c>
    </row>
    <row r="6">
      <c r="A6" t="inlineStr">
        <is>
          <t>High</t>
        </is>
      </c>
      <c r="B6">
        <v>15.5</v>
      </c>
      <c r="D6" t="inlineStr">
        <is>
          <t>Low</t>
        </is>
      </c>
      <c r="E6">
        <v>1.5</v>
      </c>
      <c r="G6" t="inlineStr">
        <is>
          <t>HighlyCritical</t>
        </is>
      </c>
      <c r="H6">
        <v>1.6</v>
      </c>
      <c r="J6" t="inlineStr">
        <is>
          <t>High</t>
        </is>
      </c>
      <c r="K6">
        <v>1.5</v>
      </c>
    </row>
    <row r="7"/>
    <row r="8">
      <c r="A8" t="inlineStr" s="1">
        <is>
          <t>Notes</t>
        </is>
      </c>
    </row>
    <row r="9">
      <c r="A9" t="inlineStr">
        <is>
          <t>These defaults are editable and are intentionally similar to the static workbook so teams can compare static and scan-informed planning modes.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0" customWidth="1"/>
    <col min="3" max="3" width="16" customWidth="1"/>
    <col min="4" max="4" width="12" customWidth="1"/>
    <col min="5" max="5" width="24" customWidth="1"/>
    <col min="6" max="6" width="14" customWidth="1"/>
    <col min="7" max="7" width="18" customWidth="1"/>
    <col min="8" max="8" width="16" customWidth="1"/>
    <col min="9" max="9" width="18" customWidth="1"/>
    <col min="10" max="10" width="18" customWidth="1"/>
    <col min="11" max="11" width="22" customWidth="1"/>
    <col min="12" max="12" width="22" customWidth="1"/>
    <col min="13" max="13" width="18" customWidth="1"/>
    <col min="14" max="14" width="80" customWidth="1"/>
  </cols>
  <sheetData>
    <row r="1">
      <c r="A1" t="inlineStr" s="1">
        <is>
          <t>Derived Support Scenarios</t>
        </is>
      </c>
    </row>
    <row r="2">
      <c r="A2" t="inlineStr">
        <is>
          <t>Each row represents a scan-derived application bucket. Edit readiness, criticality, and data/performance labels if needed.</t>
        </is>
      </c>
    </row>
    <row r="3">
      <c r="A3" t="inlineStr" s="1">
        <is>
          <t>Application</t>
        </is>
      </c>
      <c r="B3" t="inlineStr" s="1">
        <is>
          <t>File Count</t>
        </is>
      </c>
      <c r="C3" t="inlineStr" s="1">
        <is>
          <t>Likely Change Targets</t>
        </is>
      </c>
      <c r="D3" t="inlineStr" s="1">
        <is>
          <t>Complexity</t>
        </is>
      </c>
      <c r="E3" t="inlineStr" s="1">
        <is>
          <t>Base Complexity Hours / App / Month</t>
        </is>
      </c>
      <c r="F3" t="inlineStr" s="1">
        <is>
          <t>Readiness</t>
        </is>
      </c>
      <c r="G3" t="inlineStr" s="1">
        <is>
          <t>Readiness Multiplier</t>
        </is>
      </c>
      <c r="H3" t="inlineStr" s="1">
        <is>
          <t>Criticality</t>
        </is>
      </c>
      <c r="I3" t="inlineStr" s="1">
        <is>
          <t>Criticality Multiplier</t>
        </is>
      </c>
      <c r="J3" t="inlineStr" s="1">
        <is>
          <t>Data / Performance</t>
        </is>
      </c>
      <c r="K3" t="inlineStr" s="1">
        <is>
          <t>Data / Performance Multiplier</t>
        </is>
      </c>
      <c r="L3" t="inlineStr" s="1">
        <is>
          <t>Adjusted Monthly Hours / App</t>
        </is>
      </c>
      <c r="M3" t="inlineStr" s="1">
        <is>
          <t>Total Monthly Hours</t>
        </is>
      </c>
      <c r="N3" t="inlineStr" s="1">
        <is>
          <t>Notes</t>
        </is>
      </c>
    </row>
    <row r="4">
      <c r="A4" t="inlineStr">
        <is>
          <t>README.md</t>
        </is>
      </c>
      <c r="B4">
        <v>1</v>
      </c>
      <c r="C4">
        <v>1</v>
      </c>
      <c r="D4" t="inlineStr">
        <is>
          <t>medium</t>
        </is>
      </c>
      <c r="E4">
        <f>VLOOKUP(D4,Assumptions!$A$4:$B$6,2,FALSE)</f>
      </c>
      <c r="F4" t="inlineStr">
        <is>
          <t>Medium</t>
        </is>
      </c>
      <c r="G4">
        <f>VLOOKUP(F4,Assumptions!$D$4:$E$6,2,FALSE)</f>
      </c>
      <c r="H4" t="inlineStr">
        <is>
          <t>BusinessHours</t>
        </is>
      </c>
      <c r="I4">
        <f>VLOOKUP(H4,Assumptions!$G$4:$H$6,2,FALSE)</f>
      </c>
      <c r="J4" t="inlineStr">
        <is>
          <t>Low</t>
        </is>
      </c>
      <c r="K4">
        <f>VLOOKUP(J4,Assumptions!$J$4:$K$6,2,FALSE)</f>
      </c>
      <c r="L4">
        <f>E4*G4*I4*K4</f>
      </c>
      <c r="M4">
        <f>C4*L4</f>
      </c>
      <c r="N4" t="inlineStr">
        <is>
          <t>JDBC-style reduction candidate; application support burden may stay lower than direct wrapper changes. 1 likely change-target file(s) in this derived application bucket. JDBC candidate count observed: 2. Contexts: docs.</t>
        </is>
      </c>
    </row>
    <row r="5">
      <c r="A5" t="inlineStr">
        <is>
          <t>backend/dotnet-api</t>
        </is>
      </c>
      <c r="B5">
        <v>10</v>
      </c>
      <c r="C5">
        <v>2</v>
      </c>
      <c r="D5" t="inlineStr">
        <is>
          <t>high</t>
        </is>
      </c>
      <c r="E5">
        <f>VLOOKUP(D5,Assumptions!$A$4:$B$6,2,FALSE)</f>
      </c>
      <c r="F5" t="inlineStr">
        <is>
          <t>Low</t>
        </is>
      </c>
      <c r="G5">
        <f>VLOOKUP(F5,Assumptions!$D$4:$E$6,2,FALSE)</f>
      </c>
      <c r="H5" t="inlineStr">
        <is>
          <t>Near24x7</t>
        </is>
      </c>
      <c r="I5">
        <f>VLOOKUP(H5,Assumptions!$G$4:$H$6,2,FALSE)</f>
      </c>
      <c r="J5" t="inlineStr">
        <is>
          <t>High</t>
        </is>
      </c>
      <c r="K5">
        <f>VLOOKUP(J5,Assumptions!$J$4:$K$6,2,FALSE)</f>
      </c>
      <c r="L5">
        <f>E5*G5*I5*K5</f>
      </c>
      <c r="M5">
        <f>C5*L5</f>
      </c>
      <c r="N5" t="inlineStr">
        <is>
          <t>Supporting-model or DTO-heavy area; often narrows out of true change-owner scope. 2 likely change-target file(s) in this derived application bucket. JDBC candidate count observed: 4. Contexts: backend.</t>
        </is>
      </c>
    </row>
    <row r="6">
      <c r="A6" t="inlineStr">
        <is>
          <t>backend/go-service</t>
        </is>
      </c>
      <c r="B6">
        <v>1</v>
      </c>
      <c r="C6">
        <v>1</v>
      </c>
      <c r="D6" t="inlineStr">
        <is>
          <t>high</t>
        </is>
      </c>
      <c r="E6">
        <f>VLOOKUP(D6,Assumptions!$A$4:$B$6,2,FALSE)</f>
      </c>
      <c r="F6" t="inlineStr">
        <is>
          <t>Low</t>
        </is>
      </c>
      <c r="G6">
        <f>VLOOKUP(F6,Assumptions!$D$4:$E$6,2,FALSE)</f>
      </c>
      <c r="H6" t="inlineStr">
        <is>
          <t>Near24x7</t>
        </is>
      </c>
      <c r="I6">
        <f>VLOOKUP(H6,Assumptions!$G$4:$H$6,2,FALSE)</f>
      </c>
      <c r="J6" t="inlineStr">
        <is>
          <t>Moderate</t>
        </is>
      </c>
      <c r="K6">
        <f>VLOOKUP(J6,Assumptions!$J$4:$K$6,2,FALSE)</f>
      </c>
      <c r="L6">
        <f>E6*G6*I6*K6</f>
      </c>
      <c r="M6">
        <f>C6*L6</f>
      </c>
      <c r="N6" t="inlineStr">
        <is>
          <t>JDBC-style reduction candidate; application support burden may stay lower than direct wrapper changes. 1 likely change-target file(s) in this derived application bucket. JDBC candidate count observed: 1. Contexts: backend.</t>
        </is>
      </c>
    </row>
    <row r="7">
      <c r="A7" t="inlineStr">
        <is>
          <t>backend/java-kafka</t>
        </is>
      </c>
      <c r="B7">
        <v>1</v>
      </c>
      <c r="C7">
        <v>1</v>
      </c>
      <c r="D7" t="inlineStr">
        <is>
          <t>high</t>
        </is>
      </c>
      <c r="E7">
        <f>VLOOKUP(D7,Assumptions!$A$4:$B$6,2,FALSE)</f>
      </c>
      <c r="F7" t="inlineStr">
        <is>
          <t>Low</t>
        </is>
      </c>
      <c r="G7">
        <f>VLOOKUP(F7,Assumptions!$D$4:$E$6,2,FALSE)</f>
      </c>
      <c r="H7" t="inlineStr">
        <is>
          <t>Near24x7</t>
        </is>
      </c>
      <c r="I7">
        <f>VLOOKUP(H7,Assumptions!$G$4:$H$6,2,FALSE)</f>
      </c>
      <c r="J7" t="inlineStr">
        <is>
          <t>Low</t>
        </is>
      </c>
      <c r="K7">
        <f>VLOOKUP(J7,Assumptions!$J$4:$K$6,2,FALSE)</f>
      </c>
      <c r="L7">
        <f>E7*G7*I7*K7</f>
      </c>
      <c r="M7">
        <f>C7*L7</f>
      </c>
      <c r="N7" t="inlineStr">
        <is>
          <t>JDBC-style reduction candidate; application support burden may stay lower than direct wrapper changes. 1 likely change-target file(s) in this derived application bucket. JDBC candidate count observed: 7. Contexts: backend.</t>
        </is>
      </c>
    </row>
    <row r="8">
      <c r="A8" t="inlineStr">
        <is>
          <t>backend/jdbc-only</t>
        </is>
      </c>
      <c r="B8">
        <v>2</v>
      </c>
      <c r="C8">
        <v>1</v>
      </c>
      <c r="D8" t="inlineStr">
        <is>
          <t>medium</t>
        </is>
      </c>
      <c r="E8">
        <f>VLOOKUP(D8,Assumptions!$A$4:$B$6,2,FALSE)</f>
      </c>
      <c r="F8" t="inlineStr">
        <is>
          <t>Medium</t>
        </is>
      </c>
      <c r="G8">
        <f>VLOOKUP(F8,Assumptions!$D$4:$E$6,2,FALSE)</f>
      </c>
      <c r="H8" t="inlineStr">
        <is>
          <t>Near24x7</t>
        </is>
      </c>
      <c r="I8">
        <f>VLOOKUP(H8,Assumptions!$G$4:$H$6,2,FALSE)</f>
      </c>
      <c r="J8" t="inlineStr">
        <is>
          <t>Moderate</t>
        </is>
      </c>
      <c r="K8">
        <f>VLOOKUP(J8,Assumptions!$J$4:$K$6,2,FALSE)</f>
      </c>
      <c r="L8">
        <f>E8*G8*I8*K8</f>
      </c>
      <c r="M8">
        <f>C8*L8</f>
      </c>
      <c r="N8" t="inlineStr">
        <is>
          <t>Supporting-model or DTO-heavy area; often narrows out of true change-owner scope. 1 likely change-target file(s) in this derived application bucket. JDBC candidate count observed: 16. Contexts: backend.</t>
        </is>
      </c>
    </row>
    <row r="9">
      <c r="A9" t="inlineStr">
        <is>
          <t>backend/node-service</t>
        </is>
      </c>
      <c r="B9">
        <v>2</v>
      </c>
      <c r="C9">
        <v>1</v>
      </c>
      <c r="D9" t="inlineStr">
        <is>
          <t>high</t>
        </is>
      </c>
      <c r="E9">
        <f>VLOOKUP(D9,Assumptions!$A$4:$B$6,2,FALSE)</f>
      </c>
      <c r="F9" t="inlineStr">
        <is>
          <t>Low</t>
        </is>
      </c>
      <c r="G9">
        <f>VLOOKUP(F9,Assumptions!$D$4:$E$6,2,FALSE)</f>
      </c>
      <c r="H9" t="inlineStr">
        <is>
          <t>BusinessHours</t>
        </is>
      </c>
      <c r="I9">
        <f>VLOOKUP(H9,Assumptions!$G$4:$H$6,2,FALSE)</f>
      </c>
      <c r="J9" t="inlineStr">
        <is>
          <t>High</t>
        </is>
      </c>
      <c r="K9">
        <f>VLOOKUP(J9,Assumptions!$J$4:$K$6,2,FALSE)</f>
      </c>
      <c r="L9">
        <f>E9*G9*I9*K9</f>
      </c>
      <c r="M9">
        <f>C9*L9</f>
      </c>
      <c r="N9" t="inlineStr">
        <is>
          <t>Mostly front-end reference traffic; likely not the primary CRDP support owner. 1 likely change-target file(s) in this derived application bucket. JDBC candidate count observed: 1. Contexts: backend, frontend.</t>
        </is>
      </c>
    </row>
    <row r="10">
      <c r="A10" t="inlineStr">
        <is>
          <t>backend/python-fastapi</t>
        </is>
      </c>
      <c r="B10">
        <v>3</v>
      </c>
      <c r="C10">
        <v>2</v>
      </c>
      <c r="D10" t="inlineStr">
        <is>
          <t>high</t>
        </is>
      </c>
      <c r="E10">
        <f>VLOOKUP(D10,Assumptions!$A$4:$B$6,2,FALSE)</f>
      </c>
      <c r="F10" t="inlineStr">
        <is>
          <t>Low</t>
        </is>
      </c>
      <c r="G10">
        <f>VLOOKUP(F10,Assumptions!$D$4:$E$6,2,FALSE)</f>
      </c>
      <c r="H10" t="inlineStr">
        <is>
          <t>Near24x7</t>
        </is>
      </c>
      <c r="I10">
        <f>VLOOKUP(H10,Assumptions!$G$4:$H$6,2,FALSE)</f>
      </c>
      <c r="J10" t="inlineStr">
        <is>
          <t>High</t>
        </is>
      </c>
      <c r="K10">
        <f>VLOOKUP(J10,Assumptions!$J$4:$K$6,2,FALSE)</f>
      </c>
      <c r="L10">
        <f>E10*G10*I10*K10</f>
      </c>
      <c r="M10">
        <f>C10*L10</f>
      </c>
      <c r="N10" t="inlineStr">
        <is>
          <t>JDBC-style reduction candidate; application support burden may stay lower than direct wrapper changes. 2 likely change-target file(s) in this derived application bucket. JDBC candidate count observed: 3. Contexts: backend.</t>
        </is>
      </c>
    </row>
    <row r="11">
      <c r="A11" t="inlineStr">
        <is>
          <t>backend/spring-boot</t>
        </is>
      </c>
      <c r="B11">
        <v>16</v>
      </c>
      <c r="C11">
        <v>7</v>
      </c>
      <c r="D11" t="inlineStr">
        <is>
          <t>high</t>
        </is>
      </c>
      <c r="E11">
        <f>VLOOKUP(D11,Assumptions!$A$4:$B$6,2,FALSE)</f>
      </c>
      <c r="F11" t="inlineStr">
        <is>
          <t>Low</t>
        </is>
      </c>
      <c r="G11">
        <f>VLOOKUP(F11,Assumptions!$D$4:$E$6,2,FALSE)</f>
      </c>
      <c r="H11" t="inlineStr">
        <is>
          <t>Near24x7</t>
        </is>
      </c>
      <c r="I11">
        <f>VLOOKUP(H11,Assumptions!$G$4:$H$6,2,FALSE)</f>
      </c>
      <c r="J11" t="inlineStr">
        <is>
          <t>High</t>
        </is>
      </c>
      <c r="K11">
        <f>VLOOKUP(J11,Assumptions!$J$4:$K$6,2,FALSE)</f>
      </c>
      <c r="L11">
        <f>E11*G11*I11*K11</f>
      </c>
      <c r="M11">
        <f>C11*L11</f>
      </c>
      <c r="N11" t="inlineStr">
        <is>
          <t>Supporting-model or DTO-heavy area; often narrows out of true change-owner scope. 7 likely change-target file(s) in this derived application bucket. JDBC candidate count observed: 41. Contexts: backend.</t>
        </is>
      </c>
    </row>
    <row r="12">
      <c r="A12" t="inlineStr">
        <is>
          <t>backend/vector-search</t>
        </is>
      </c>
      <c r="B12">
        <v>2</v>
      </c>
      <c r="C12">
        <v>1</v>
      </c>
      <c r="D12" t="inlineStr">
        <is>
          <t>high</t>
        </is>
      </c>
      <c r="E12">
        <f>VLOOKUP(D12,Assumptions!$A$4:$B$6,2,FALSE)</f>
      </c>
      <c r="F12" t="inlineStr">
        <is>
          <t>Low</t>
        </is>
      </c>
      <c r="G12">
        <f>VLOOKUP(F12,Assumptions!$D$4:$E$6,2,FALSE)</f>
      </c>
      <c r="H12" t="inlineStr">
        <is>
          <t>BusinessHours</t>
        </is>
      </c>
      <c r="I12">
        <f>VLOOKUP(H12,Assumptions!$G$4:$H$6,2,FALSE)</f>
      </c>
      <c r="J12" t="inlineStr">
        <is>
          <t>High</t>
        </is>
      </c>
      <c r="K12">
        <f>VLOOKUP(J12,Assumptions!$J$4:$K$6,2,FALSE)</f>
      </c>
      <c r="L12">
        <f>E12*G12*I12*K12</f>
      </c>
      <c r="M12">
        <f>C12*L12</f>
      </c>
      <c r="N12" t="inlineStr">
        <is>
          <t>Mostly front-end reference traffic; likely not the primary CRDP support owner. 1 likely change-target file(s) in this derived application bucket. Contexts: backend, frontend.</t>
        </is>
      </c>
    </row>
    <row r="13">
      <c r="A13" t="inlineStr">
        <is>
          <t>frontend/angular</t>
        </is>
      </c>
      <c r="B13">
        <v>1</v>
      </c>
      <c r="C13">
        <v>0</v>
      </c>
      <c r="D13" t="inlineStr">
        <is>
          <t>high</t>
        </is>
      </c>
      <c r="E13">
        <f>VLOOKUP(D13,Assumptions!$A$4:$B$6,2,FALSE)</f>
      </c>
      <c r="F13" t="inlineStr">
        <is>
          <t>Low</t>
        </is>
      </c>
      <c r="G13">
        <f>VLOOKUP(F13,Assumptions!$D$4:$E$6,2,FALSE)</f>
      </c>
      <c r="H13" t="inlineStr">
        <is>
          <t>BusinessHours</t>
        </is>
      </c>
      <c r="I13">
        <f>VLOOKUP(H13,Assumptions!$G$4:$H$6,2,FALSE)</f>
      </c>
      <c r="J13" t="inlineStr">
        <is>
          <t>Moderate</t>
        </is>
      </c>
      <c r="K13">
        <f>VLOOKUP(J13,Assumptions!$J$4:$K$6,2,FALSE)</f>
      </c>
      <c r="L13">
        <f>E13*G13*I13*K13</f>
      </c>
      <c r="M13">
        <f>C13*L13</f>
      </c>
      <c r="N13" t="inlineStr">
        <is>
          <t>Mostly front-end reference traffic; likely not the primary CRDP support owner. Contexts: frontend.</t>
        </is>
      </c>
    </row>
    <row r="14">
      <c r="A14" t="inlineStr">
        <is>
          <t>frontend/node-express-ui</t>
        </is>
      </c>
      <c r="B14">
        <v>3</v>
      </c>
      <c r="C14">
        <v>0</v>
      </c>
      <c r="D14" t="inlineStr">
        <is>
          <t>high</t>
        </is>
      </c>
      <c r="E14">
        <f>VLOOKUP(D14,Assumptions!$A$4:$B$6,2,FALSE)</f>
      </c>
      <c r="F14" t="inlineStr">
        <is>
          <t>Low</t>
        </is>
      </c>
      <c r="G14">
        <f>VLOOKUP(F14,Assumptions!$D$4:$E$6,2,FALSE)</f>
      </c>
      <c r="H14" t="inlineStr">
        <is>
          <t>BusinessHours</t>
        </is>
      </c>
      <c r="I14">
        <f>VLOOKUP(H14,Assumptions!$G$4:$H$6,2,FALSE)</f>
      </c>
      <c r="J14" t="inlineStr">
        <is>
          <t>Moderate</t>
        </is>
      </c>
      <c r="K14">
        <f>VLOOKUP(J14,Assumptions!$J$4:$K$6,2,FALSE)</f>
      </c>
      <c r="L14">
        <f>E14*G14*I14*K14</f>
      </c>
      <c r="M14">
        <f>C14*L14</f>
      </c>
      <c r="N14" t="inlineStr">
        <is>
          <t>Mostly front-end reference traffic; likely not the primary CRDP support owner. Contexts: frontend.</t>
        </is>
      </c>
    </row>
    <row r="15">
      <c r="A15" t="inlineStr">
        <is>
          <t>frontend/react</t>
        </is>
      </c>
      <c r="B15">
        <v>3</v>
      </c>
      <c r="C15">
        <v>0</v>
      </c>
      <c r="D15" t="inlineStr">
        <is>
          <t>high</t>
        </is>
      </c>
      <c r="E15">
        <f>VLOOKUP(D15,Assumptions!$A$4:$B$6,2,FALSE)</f>
      </c>
      <c r="F15" t="inlineStr">
        <is>
          <t>Low</t>
        </is>
      </c>
      <c r="G15">
        <f>VLOOKUP(F15,Assumptions!$D$4:$E$6,2,FALSE)</f>
      </c>
      <c r="H15" t="inlineStr">
        <is>
          <t>BusinessHours</t>
        </is>
      </c>
      <c r="I15">
        <f>VLOOKUP(H15,Assumptions!$G$4:$H$6,2,FALSE)</f>
      </c>
      <c r="J15" t="inlineStr">
        <is>
          <t>High</t>
        </is>
      </c>
      <c r="K15">
        <f>VLOOKUP(J15,Assumptions!$J$4:$K$6,2,FALSE)</f>
      </c>
      <c r="L15">
        <f>E15*G15*I15*K15</f>
      </c>
      <c r="M15">
        <f>C15*L15</f>
      </c>
      <c r="N15" t="inlineStr">
        <is>
          <t>Mostly front-end reference traffic; likely not the primary CRDP support owner. Contexts: frontend.</t>
        </is>
      </c>
    </row>
    <row r="16">
      <c r="A16" t="inlineStr">
        <is>
          <t>ops/call_thales_ctvl_tokenize.sh</t>
        </is>
      </c>
      <c r="B16">
        <v>1</v>
      </c>
      <c r="C16">
        <v>0</v>
      </c>
      <c r="D16" t="inlineStr">
        <is>
          <t>low</t>
        </is>
      </c>
      <c r="E16">
        <f>VLOOKUP(D16,Assumptions!$A$4:$B$6,2,FALSE)</f>
      </c>
      <c r="F16" t="inlineStr">
        <is>
          <t>High</t>
        </is>
      </c>
      <c r="G16">
        <f>VLOOKUP(F16,Assumptions!$D$4:$E$6,2,FALSE)</f>
      </c>
      <c r="H16" t="inlineStr">
        <is>
          <t>BusinessHours</t>
        </is>
      </c>
      <c r="I16">
        <f>VLOOKUP(H16,Assumptions!$G$4:$H$6,2,FALSE)</f>
      </c>
      <c r="J16" t="inlineStr">
        <is>
          <t>Low</t>
        </is>
      </c>
      <c r="K16">
        <f>VLOOKUP(J16,Assumptions!$J$4:$K$6,2,FALSE)</f>
      </c>
      <c r="L16">
        <f>E16*G16*I16*K16</f>
      </c>
      <c r="M16">
        <f>C16*L16</f>
      </c>
      <c r="N16" t="inlineStr">
        <is>
          <t>Supporting-model or DTO-heavy area; often narrows out of true change-owner scope. Contexts: batch_integration.</t>
        </is>
      </c>
    </row>
    <row r="17">
      <c r="A17" t="inlineStr">
        <is>
          <t>ops/call_thales_wrapper_endpoint.sh</t>
        </is>
      </c>
      <c r="B17">
        <v>1</v>
      </c>
      <c r="C17">
        <v>0</v>
      </c>
      <c r="D17" t="inlineStr">
        <is>
          <t>low</t>
        </is>
      </c>
      <c r="E17">
        <f>VLOOKUP(D17,Assumptions!$A$4:$B$6,2,FALSE)</f>
      </c>
      <c r="F17" t="inlineStr">
        <is>
          <t>High</t>
        </is>
      </c>
      <c r="G17">
        <f>VLOOKUP(F17,Assumptions!$D$4:$E$6,2,FALSE)</f>
      </c>
      <c r="H17" t="inlineStr">
        <is>
          <t>BusinessHours</t>
        </is>
      </c>
      <c r="I17">
        <f>VLOOKUP(H17,Assumptions!$G$4:$H$6,2,FALSE)</f>
      </c>
      <c r="J17" t="inlineStr">
        <is>
          <t>Low</t>
        </is>
      </c>
      <c r="K17">
        <f>VLOOKUP(J17,Assumptions!$J$4:$K$6,2,FALSE)</f>
      </c>
      <c r="L17">
        <f>E17*G17*I17*K17</f>
      </c>
      <c r="M17">
        <f>C17*L17</f>
      </c>
      <c r="N17" t="inlineStr">
        <is>
          <t>Supporting-model or DTO-heavy area; often narrows out of true change-owner scope. Contexts: batch_integration.</t>
        </is>
      </c>
    </row>
    <row r="18"/>
    <row r="19">
      <c r="A19" t="inlineStr" s="1">
        <is>
          <t>Total derived applications</t>
        </is>
      </c>
      <c r="B19">
        <f>COUNTA(A4:A17)</f>
      </c>
    </row>
    <row r="20">
      <c r="A20" t="inlineStr" s="1">
        <is>
          <t>Total monthly hours</t>
        </is>
      </c>
      <c r="B20">
        <f>SUM(M4:M17)</f>
      </c>
    </row>
    <row r="21">
      <c r="A21" t="inlineStr" s="1">
        <is>
          <t>Total annual hours</t>
        </is>
      </c>
      <c r="B21">
        <f>B20*12</f>
      </c>
    </row>
    <row r="22">
      <c r="A22" t="inlineStr" s="1">
        <is>
          <t>Estimated monthly FTE (160h)</t>
        </is>
      </c>
      <c r="B22">
        <f>B20/160</f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90" customWidth="1"/>
  </cols>
  <sheetData>
    <row r="1">
      <c r="A1" t="inlineStr" s="1">
        <is>
          <t>Portfolio Summary</t>
        </is>
      </c>
    </row>
    <row r="2">
      <c r="A2" t="inlineStr">
        <is>
          <t>This summary rolls up the scan-derived application buckets from the Derived_Scenarios sheet.</t>
        </is>
      </c>
    </row>
    <row r="3">
      <c r="A3" t="inlineStr" s="1">
        <is>
          <t>Metric</t>
        </is>
      </c>
      <c r="B3" t="inlineStr" s="1">
        <is>
          <t>Value</t>
        </is>
      </c>
      <c r="C3" t="inlineStr" s="1">
        <is>
          <t>Interpretation</t>
        </is>
      </c>
    </row>
    <row r="4">
      <c r="A4" t="inlineStr">
        <is>
          <t>Derived applications</t>
        </is>
      </c>
      <c r="B4">
        <f>Derived_Scenarios!B19</f>
      </c>
      <c r="C4" t="inlineStr">
        <is>
          <t>Distinct scan-derived application buckets represented in this workbook.</t>
        </is>
      </c>
    </row>
    <row r="5">
      <c r="A5" t="inlineStr">
        <is>
          <t>Total monthly hours</t>
        </is>
      </c>
      <c r="B5">
        <f>Derived_Scenarios!B20</f>
      </c>
      <c r="C5" t="inlineStr">
        <is>
          <t>Editable planning total after readiness, criticality, and data/performance multipliers are applied.</t>
        </is>
      </c>
    </row>
    <row r="6">
      <c r="A6" t="inlineStr">
        <is>
          <t>Total annual hours</t>
        </is>
      </c>
      <c r="B6">
        <f>Derived_Scenarios!B21</f>
      </c>
      <c r="C6" t="inlineStr">
        <is>
          <t>Simple yearly rollup from the monthly total.</t>
        </is>
      </c>
    </row>
    <row r="7">
      <c r="A7" t="inlineStr">
        <is>
          <t>Monthly FTE</t>
        </is>
      </c>
      <c r="B7">
        <f>Derived_Scenarios!B22</f>
      </c>
      <c r="C7" t="inlineStr">
        <is>
          <t>Calculated using 160 hours per month as a planning assumption.</t>
        </is>
      </c>
    </row>
  </sheetData>
</worksheet>
</file>